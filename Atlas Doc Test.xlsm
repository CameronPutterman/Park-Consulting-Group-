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etorgft1782741-my.sharepoint.com/personal/cputterman_parkconsulting_com/Documents/Documents/"/>
    </mc:Choice>
  </mc:AlternateContent>
  <xr:revisionPtr revIDLastSave="364" documentId="8_{B0D6CB9E-412B-47DD-BFC2-8DB9D4E160C6}" xr6:coauthVersionLast="47" xr6:coauthVersionMax="47" xr10:uidLastSave="{E044150A-15D7-4986-8791-E94306927C62}"/>
  <bookViews>
    <workbookView xWindow="-38520" yWindow="-120" windowWidth="38640" windowHeight="21120" activeTab="2" xr2:uid="{91D650F1-E28F-4902-AFB4-E5950C282CB1}"/>
  </bookViews>
  <sheets>
    <sheet name="Query2" sheetId="3" r:id="rId1"/>
    <sheet name="Query3" sheetId="4" r:id="rId2"/>
    <sheet name="Query1" sheetId="2" r:id="rId3"/>
    <sheet name="Sheet1" sheetId="1" r:id="rId4"/>
  </sheets>
  <externalReferences>
    <externalReference r:id="rId5"/>
  </externalReferences>
  <definedNames>
    <definedName name="ExternalData_2" localSheetId="2" hidden="1">Query1!$C$34:$D$41</definedName>
    <definedName name="ExternalData_3" localSheetId="2" hidden="1">Query1!$F$13:$K$32</definedName>
    <definedName name="SelectedPermit">Query1!$AC$9</definedName>
    <definedName name="SelectedPermi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Z9" i="2"/>
  <c r="J36" i="2"/>
  <c r="F1" i="2"/>
  <c r="F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485DC2F-615E-46B1-8FC2-4FA7EC8A4613}" keepAlive="1" name="Query - Permit Options &amp; Decisions" description="Connection to the 'Permit Options &amp; Decisions' query in the workbook." type="5" refreshedVersion="8" background="1" saveData="1">
    <dbPr connection="Provider=Microsoft.Mashup.OleDb.1;Data Source=$Workbook$;Location=&quot;Permit Options &amp; Decisions&quot;;Extended Properties=&quot;&quot;" command="SELECT * FROM [Permit Options &amp; Decisions]"/>
  </connection>
  <connection id="2" xr16:uid="{CDE37E0B-EC49-4799-BB2B-E37B6E427527}" keepAlive="1" name="Query - Permit Type Main" description="Connection to the 'Permit Type Main' query in the workbook." type="5" refreshedVersion="8" background="1" saveData="1">
    <dbPr connection="Provider=Microsoft.Mashup.OleDb.1;Data Source=$Workbook$;Location=&quot;Permit Type Main&quot;;Extended Properties=&quot;&quot;" command="SELECT * FROM [Permit Type Main]"/>
  </connection>
  <connection id="3" xr16:uid="{A9FE86D4-2837-4660-8EE0-6A33E41494AB}" keepAlive="1" name="Query - SelectedPermitType" description="Connection to the 'SelectedPermitType' query in the workbook." type="5" refreshedVersion="0" background="1">
    <dbPr connection="Provider=Microsoft.Mashup.OleDb.1;Data Source=$Workbook$;Location=SelectedPermitType;Extended Properties=&quot;&quot;" command="SELECT * FROM [SelectedPermitType]"/>
  </connection>
</connections>
</file>

<file path=xl/sharedStrings.xml><?xml version="1.0" encoding="utf-8"?>
<sst xmlns="http://schemas.openxmlformats.org/spreadsheetml/2006/main" count="110" uniqueCount="62">
  <si>
    <t>Permit Type Name</t>
  </si>
  <si>
    <t>Naming Scheme</t>
  </si>
  <si>
    <t>Default Status</t>
  </si>
  <si>
    <t>Default Online Status</t>
  </si>
  <si>
    <t>Days Until Expiration</t>
  </si>
  <si>
    <t>Days Until Expire From Last Inspection</t>
  </si>
  <si>
    <t>Grading and On-site</t>
  </si>
  <si>
    <t>Submitted</t>
  </si>
  <si>
    <t>Submitted - Online</t>
  </si>
  <si>
    <t>Plumbing &amp; Electrical (Legacy)</t>
  </si>
  <si>
    <t>Residential Electrical Panel Changeout Permit</t>
  </si>
  <si>
    <t>State Solar</t>
  </si>
  <si>
    <t>Combination Permit (BMEP)</t>
  </si>
  <si>
    <t>Electrical</t>
  </si>
  <si>
    <t>Electrical &amp; Mechanical (Legacy)</t>
  </si>
  <si>
    <t>Water Wastewater</t>
  </si>
  <si>
    <t>Combo Pool and/or Spa Permit (Legacy)</t>
  </si>
  <si>
    <t>Solar</t>
  </si>
  <si>
    <t>Mechanical &amp; Electrical (Legacy)</t>
  </si>
  <si>
    <t>Plumbing &amp; Mechanical (Legacy)</t>
  </si>
  <si>
    <t>Plumbing, Mechanical &amp; Electrical (Legacy)</t>
  </si>
  <si>
    <t>Mechanical</t>
  </si>
  <si>
    <t>Plumbing</t>
  </si>
  <si>
    <t>Encroachment</t>
  </si>
  <si>
    <t>Paving Maintenance</t>
  </si>
  <si>
    <t>Water Heater Replacement Single</t>
  </si>
  <si>
    <t>Building</t>
  </si>
  <si>
    <t>CMB -YYYY-{0}</t>
  </si>
  <si>
    <t>Enterprise Permitting &amp; Licensing</t>
  </si>
  <si>
    <t>Return to Table Of Contents</t>
  </si>
  <si>
    <t>Need Help? Click here to better understand the information provided on this page, including Examples.</t>
  </si>
  <si>
    <t>GOP -YYYY-8{0}</t>
  </si>
  <si>
    <t xml:space="preserve">PE-LEG </t>
  </si>
  <si>
    <t>SPC -YYYY-{0}</t>
  </si>
  <si>
    <t>SAP -YYYY-{0}</t>
  </si>
  <si>
    <t>ELE -YYYY-{0}</t>
  </si>
  <si>
    <t xml:space="preserve">EM-LEG </t>
  </si>
  <si>
    <t>W-WW -YYYY-{0}</t>
  </si>
  <si>
    <t xml:space="preserve">CPSP-LEG </t>
  </si>
  <si>
    <t>SPV -YYYY-{0}</t>
  </si>
  <si>
    <t xml:space="preserve">ME-LEG </t>
  </si>
  <si>
    <t xml:space="preserve">PM-LEG </t>
  </si>
  <si>
    <t xml:space="preserve">PME-LEG </t>
  </si>
  <si>
    <t>MEC -YYYY-{0}</t>
  </si>
  <si>
    <t>PLM -YYYY-{0}</t>
  </si>
  <si>
    <t>ENP -YYYY-5{0}</t>
  </si>
  <si>
    <t>PMP -YYYY-9{0}</t>
  </si>
  <si>
    <t>SWH -YYYY-{0}</t>
  </si>
  <si>
    <t>BLD -YYYY-{0}</t>
  </si>
  <si>
    <t>Next Page</t>
  </si>
  <si>
    <t>Auto Number</t>
  </si>
  <si>
    <t>Yes</t>
  </si>
  <si>
    <t>No</t>
  </si>
  <si>
    <t>Commercial</t>
  </si>
  <si>
    <t>Allow Resubmission of Additional Files</t>
  </si>
  <si>
    <t>Valuation Control</t>
  </si>
  <si>
    <t>Square Feet Control</t>
  </si>
  <si>
    <t>Enable Allow New CA Uploads</t>
  </si>
  <si>
    <t>Default Disabled</t>
  </si>
  <si>
    <t>Permit Options</t>
  </si>
  <si>
    <t>Decision</t>
  </si>
  <si>
    <t>Use Prefix as Suffix?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</si>
</sst>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u/>
      <sz val="12"/>
      <color theme="10"/>
      <name val="Aptos Narrow"/>
      <family val="2"/>
      <scheme val="minor"/>
    </font>
    <font>
      <b/>
      <u/>
      <sz val="14"/>
      <color rgb="FF0070C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4"/>
      <color theme="1"/>
      <name val="Calibri"/>
      <family val="2"/>
    </font>
    <font>
      <b/>
      <i/>
      <u/>
      <sz val="18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3" fillId="0" borderId="3" xfId="0" applyFont="1" applyBorder="1"/>
    <xf numFmtId="0" fontId="5" fillId="0" borderId="3" xfId="1" applyFont="1" applyBorder="1" applyAlignment="1">
      <alignment horizontal="left"/>
    </xf>
    <xf numFmtId="0" fontId="5" fillId="0" borderId="0" xfId="1" applyFont="1" applyBorder="1" applyAlignment="1">
      <alignment horizontal="left"/>
    </xf>
    <xf numFmtId="0" fontId="9" fillId="0" borderId="0" xfId="0" applyFont="1"/>
    <xf numFmtId="0" fontId="7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 wrapText="1"/>
    </xf>
    <xf numFmtId="164" fontId="0" fillId="0" borderId="0" xfId="0" applyNumberFormat="1"/>
    <xf numFmtId="0" fontId="8" fillId="3" borderId="4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6" fillId="0" borderId="0" xfId="1" applyFont="1" applyFill="1" applyBorder="1" applyAlignment="1">
      <alignment horizontal="center" vertical="center"/>
    </xf>
    <xf numFmtId="0" fontId="10" fillId="0" borderId="0" xfId="1" applyFont="1" applyBorder="1" applyAlignment="1">
      <alignment horizontal="center"/>
    </xf>
    <xf numFmtId="0" fontId="0" fillId="0" borderId="0" xfId="0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>
          <bgColor theme="0" tint="-0.24994659260841701"/>
        </patternFill>
      </fill>
    </dxf>
    <dxf>
      <font>
        <color theme="0"/>
      </font>
      <fill>
        <patternFill>
          <bgColor theme="3" tint="0.2499465926084170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1716AED5-414A-479A-BB34-7DF1DB815A81}">
      <tableStyleElement type="wholeTable" dxfId="12"/>
      <tableStyleElement type="headerRow" dxfId="11"/>
      <tableStyleElement type="firstRow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file:///C:\Users\Cameron%20Putterman\AppData\Local\Microsoft\Olk\Attachments\ooa-3a58632c-101e-46e8-a67a-7f007fe90779\ec434d07fcd2e406d3a81875d4ad58cc277d7435ced9b7d7b6c4851d3bdedfd2\CoTOaks%20-%20Combo%20Residential%20Single-Family%20-%20PCG%20Config%20Copy.xlsx" TargetMode="External"/><Relationship Id="rId2" Type="http://schemas.microsoft.com/office/2019/04/relationships/externalLinkLongPath" Target="file:///C:\Users\Cameron%20Putterman\AppData\Local\Microsoft\Olk\Attachments\ooa-3a58632c-101e-46e8-a67a-7f007fe90779\ec434d07fcd2e406d3a81875d4ad58cc277d7435ced9b7d7b6c4851d3bdedfd2\CoTOaks%20-%20Combo%20Residential%20Single-Family%20-%20PCG%20Config%20Copy.xlsx?7E47EC94" TargetMode="External"/><Relationship Id="rId1" Type="http://schemas.openxmlformats.org/officeDocument/2006/relationships/externalLinkPath" Target="file:///\\7E47EC94\CoTOaks%20-%20Combo%20Residential%20Single-Family%20-%20PCG%20Config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Table of Contents"/>
      <sheetName val="Type &amp; Workclass (2)"/>
      <sheetName val="Type &amp; Workclass"/>
      <sheetName val="Item Review Submittals"/>
      <sheetName val="Required Submittal Docs"/>
      <sheetName val="Contacts Per Workclass"/>
      <sheetName val="Contractor Validation"/>
      <sheetName val="Inspections"/>
      <sheetName val="Document Generation"/>
      <sheetName val="Workflow"/>
      <sheetName val="Accounting"/>
      <sheetName val="Adjustable Fees"/>
      <sheetName val="Custom Fields"/>
      <sheetName val="Fees"/>
      <sheetName val="ComboBox Templates"/>
      <sheetName val="Custom Field Tables"/>
      <sheetName val="Automations"/>
      <sheetName val="Bonds"/>
      <sheetName val="CSS Online"/>
      <sheetName val="Permitting Index"/>
      <sheetName val="ToBeDeletedGeo Query"/>
      <sheetName val="ToBeDeletedGeo Rules"/>
      <sheetName val="CONFIG-Automation"/>
      <sheetName val="CONFIG-CFTBLS"/>
      <sheetName val="CONFIG-Fees"/>
      <sheetName val="CONFIG-ComboBox"/>
      <sheetName val="CONFIG-CustomFields"/>
      <sheetName val="CONFIG-Type&amp;Workclass"/>
      <sheetName val="CONFIG-Workflo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6341703-DE40-4F22-829F-00E04912A1CE}" autoFormatId="16" applyNumberFormats="0" applyBorderFormats="0" applyFontFormats="0" applyPatternFormats="0" applyAlignmentFormats="0" applyWidthHeightFormats="0">
  <queryTableRefresh nextId="6">
    <queryTableFields count="2">
      <queryTableField id="4" name="Permit Options" tableColumnId="4"/>
      <queryTableField id="5" name="Decision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63E82DD8-9407-435C-A546-1679E337F182}" autoFormatId="16" applyNumberFormats="0" applyBorderFormats="0" applyFontFormats="0" applyPatternFormats="0" applyAlignmentFormats="0" applyWidthHeightFormats="0">
  <queryTableRefresh nextId="7">
    <queryTableFields count="6">
      <queryTableField id="1" name="Permit Type Name" tableColumnId="1"/>
      <queryTableField id="2" name="Naming Scheme" tableColumnId="2"/>
      <queryTableField id="3" name="Default Status" tableColumnId="3"/>
      <queryTableField id="4" name="Default Online Status" tableColumnId="4"/>
      <queryTableField id="5" name="Days Until Expiration" tableColumnId="5"/>
      <queryTableField id="6" name="Days Until Expire From Last Inspec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C6CA12-4090-4ACB-A747-EDE4133A3BE4}" name="Permit_Options___Decisions" displayName="Permit_Options___Decisions" ref="C34:D41" tableType="queryTable" totalsRowShown="0">
  <autoFilter ref="C34:D41" xr:uid="{D5C6CA12-4090-4ACB-A747-EDE4133A3BE4}"/>
  <tableColumns count="2">
    <tableColumn id="4" xr3:uid="{BDF34FEB-2F19-4D5B-9EEA-FCD958C1A12F}" uniqueName="4" name="Permit Options" queryTableFieldId="4" dataDxfId="9"/>
    <tableColumn id="5" xr3:uid="{F09E7020-650D-43FC-94E3-CA9672B15BF3}" uniqueName="5" name="Decision" queryTableFieldId="5" dataDxfId="8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2A2028-2DB2-475E-AF1A-F6DF69A733B9}" name="Permit_Type_Main" displayName="Permit_Type_Main" ref="F13:K32" tableType="queryTable" totalsRowShown="0" headerRowDxfId="7" dataDxfId="6">
  <autoFilter ref="F13:K32" xr:uid="{BD2A2028-2DB2-475E-AF1A-F6DF69A733B9}">
    <filterColumn colId="0">
      <filters>
        <filter val="Residential Electrical Panel Changeout Permit"/>
      </filters>
    </filterColumn>
  </autoFilter>
  <tableColumns count="6">
    <tableColumn id="1" xr3:uid="{11D32EBB-D5A7-40A3-9B21-771DAEEA6FED}" uniqueName="1" name="Permit Type Name" queryTableFieldId="1" dataDxfId="5"/>
    <tableColumn id="2" xr3:uid="{17922A65-F6F2-42D9-92B0-518CDE73A7D2}" uniqueName="2" name="Naming Scheme" queryTableFieldId="2" dataDxfId="4"/>
    <tableColumn id="3" xr3:uid="{19DFB9D6-1908-4A7C-888E-43509C214524}" uniqueName="3" name="Default Status" queryTableFieldId="3" dataDxfId="3"/>
    <tableColumn id="4" xr3:uid="{BB363B02-37E7-47F8-95FB-975E8617B071}" uniqueName="4" name="Default Online Status" queryTableFieldId="4" dataDxfId="2"/>
    <tableColumn id="5" xr3:uid="{D3BAEF45-DB26-4AEF-9B6C-A4F80E951FD7}" uniqueName="5" name="Days Until Expiration" queryTableFieldId="5" dataDxfId="1"/>
    <tableColumn id="6" xr3:uid="{B411CACF-0A48-41CB-9197-B9D9CF452EB4}" uniqueName="6" name="Days Until Expire From Last Inspection" queryTableFieldId="6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2E98A-ABCE-4CCC-920A-6F0C35A13330}">
  <sheetPr codeName="Sheet3"/>
  <dimension ref="A1"/>
  <sheetViews>
    <sheetView workbookViewId="0">
      <selection activeCell="B7" sqref="A1:B153"/>
    </sheetView>
  </sheetViews>
  <sheetFormatPr defaultRowHeight="14.5" x14ac:dyDescent="0.35"/>
  <cols>
    <col min="1" max="1" width="31.7265625" bestFit="1" customWidth="1"/>
    <col min="2" max="2" width="14.2695312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9D5D-FC24-4A89-97AB-9841E31FD889}">
  <sheetPr codeName="Sheet4"/>
  <dimension ref="A1"/>
  <sheetViews>
    <sheetView workbookViewId="0">
      <selection activeCell="A6" sqref="A1:B8"/>
    </sheetView>
  </sheetViews>
  <sheetFormatPr defaultRowHeight="14.5" x14ac:dyDescent="0.35"/>
  <cols>
    <col min="1" max="1" width="31.7265625" bestFit="1" customWidth="1"/>
    <col min="2" max="2" width="14.26953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04D8C-B499-42C7-A8AE-4ACEFDA33717}">
  <sheetPr codeName="Sheet1"/>
  <dimension ref="B1:AJ41"/>
  <sheetViews>
    <sheetView tabSelected="1" zoomScale="70" zoomScaleNormal="70" workbookViewId="0">
      <selection activeCell="F13" sqref="F13:K32"/>
    </sheetView>
  </sheetViews>
  <sheetFormatPr defaultColWidth="27.6328125" defaultRowHeight="14.5" x14ac:dyDescent="0.35"/>
  <cols>
    <col min="1" max="2" width="8.26953125" customWidth="1"/>
    <col min="3" max="3" width="43.7265625" bestFit="1" customWidth="1"/>
    <col min="4" max="4" width="19.6328125" bestFit="1" customWidth="1"/>
    <col min="5" max="5" width="39.7265625" bestFit="1" customWidth="1"/>
    <col min="6" max="6" width="52.7265625" bestFit="1" customWidth="1"/>
    <col min="7" max="7" width="21.08984375" bestFit="1" customWidth="1"/>
    <col min="8" max="8" width="17.26953125" bestFit="1" customWidth="1"/>
    <col min="9" max="9" width="25.08984375" bestFit="1" customWidth="1"/>
    <col min="10" max="10" width="24.08984375" bestFit="1" customWidth="1"/>
    <col min="11" max="11" width="43.7265625" bestFit="1" customWidth="1"/>
    <col min="12" max="12" width="80.7265625" bestFit="1" customWidth="1"/>
    <col min="13" max="13" width="44.26953125" bestFit="1" customWidth="1"/>
    <col min="14" max="14" width="26" bestFit="1" customWidth="1"/>
    <col min="15" max="15" width="23.81640625" bestFit="1" customWidth="1"/>
    <col min="16" max="16" width="31.7265625" bestFit="1" customWidth="1"/>
    <col min="17" max="17" width="31.08984375" bestFit="1" customWidth="1"/>
    <col min="18" max="18" width="46.453125" bestFit="1" customWidth="1"/>
    <col min="19" max="19" width="8.453125" customWidth="1"/>
    <col min="20" max="20" width="11.6328125" customWidth="1"/>
    <col min="21" max="21" width="8.90625" customWidth="1"/>
  </cols>
  <sheetData>
    <row r="1" spans="2:36" ht="47.5" x14ac:dyDescent="1.1000000000000001">
      <c r="F1" s="12" t="str">
        <f>"Type &amp; Workclass - Permit Module - "&amp;(IF('[1]Type &amp; Workclass (2)'!B14="","[Case Type]",'[1]Type &amp; Workclass (2)'!B14))&amp;""</f>
        <v>Type &amp; Workclass - Permit Module - [Case Type]</v>
      </c>
      <c r="G1" s="13"/>
      <c r="H1" s="13"/>
      <c r="I1" s="13"/>
      <c r="J1" s="13"/>
      <c r="K1" s="13"/>
      <c r="L1" s="13"/>
      <c r="S1" s="13"/>
      <c r="T1" s="13"/>
      <c r="U1" s="13"/>
      <c r="V1" s="13"/>
      <c r="W1" s="13"/>
      <c r="X1" s="13"/>
      <c r="Y1" s="13"/>
      <c r="Z1" s="13"/>
    </row>
    <row r="2" spans="2:36" ht="18.5" x14ac:dyDescent="0.45">
      <c r="F2" s="1" t="s">
        <v>28</v>
      </c>
    </row>
    <row r="3" spans="2:36" ht="16" x14ac:dyDescent="0.4">
      <c r="F3" s="2" t="s">
        <v>29</v>
      </c>
      <c r="G3" s="3"/>
      <c r="H3" s="3"/>
    </row>
    <row r="5" spans="2:36" ht="23.5" x14ac:dyDescent="0.55000000000000004">
      <c r="G5" s="14" t="s">
        <v>30</v>
      </c>
      <c r="H5" s="14"/>
      <c r="I5" s="14"/>
      <c r="J5" s="14"/>
      <c r="L5" s="15" t="s">
        <v>49</v>
      </c>
      <c r="S5" s="15"/>
      <c r="T5" s="15"/>
    </row>
    <row r="9" spans="2:36" ht="18.5" x14ac:dyDescent="0.45">
      <c r="L9" s="4"/>
      <c r="Z9" t="str">
        <f>SelectedPermit</f>
        <v>Grading and On-site</v>
      </c>
      <c r="AC9" t="s">
        <v>6</v>
      </c>
    </row>
    <row r="10" spans="2:36" ht="18.5" x14ac:dyDescent="0.45">
      <c r="L10" s="4"/>
      <c r="AC10" s="17" t="s">
        <v>6</v>
      </c>
      <c r="AJ10" s="10"/>
    </row>
    <row r="11" spans="2:36" ht="15.5" x14ac:dyDescent="0.35">
      <c r="B11" s="9">
        <v>1</v>
      </c>
      <c r="C11" s="9"/>
      <c r="D11" s="9"/>
      <c r="E11" s="9"/>
      <c r="F11" t="str">
        <f>"Please provide the information for this business process."</f>
        <v>Please provide the information for this business process.</v>
      </c>
      <c r="AC11" s="18" t="s">
        <v>9</v>
      </c>
      <c r="AJ11" s="11"/>
    </row>
    <row r="12" spans="2:36" ht="15.5" x14ac:dyDescent="0.35">
      <c r="Z12" t="str">
        <f>SelectedPermit</f>
        <v>Grading and On-site</v>
      </c>
      <c r="AC12" s="17" t="s">
        <v>10</v>
      </c>
      <c r="AJ12" s="10"/>
    </row>
    <row r="13" spans="2:36" s="7" customFormat="1" ht="18.5" x14ac:dyDescent="0.35">
      <c r="F13" s="16" t="s">
        <v>0</v>
      </c>
      <c r="G13" s="16" t="s">
        <v>1</v>
      </c>
      <c r="H13" s="16" t="s">
        <v>2</v>
      </c>
      <c r="I13" s="16" t="s">
        <v>3</v>
      </c>
      <c r="J13" s="16" t="s">
        <v>4</v>
      </c>
      <c r="K13" s="16" t="s">
        <v>5</v>
      </c>
      <c r="L13" s="6"/>
      <c r="M13" s="6"/>
      <c r="N13" s="6"/>
      <c r="O13" s="6"/>
      <c r="P13" s="6"/>
      <c r="Q13" s="8"/>
      <c r="AC13" s="18" t="s">
        <v>11</v>
      </c>
      <c r="AJ13" s="11"/>
    </row>
    <row r="14" spans="2:36" ht="15.5" hidden="1" x14ac:dyDescent="0.35">
      <c r="F14" s="16" t="s">
        <v>6</v>
      </c>
      <c r="G14" s="16" t="s">
        <v>31</v>
      </c>
      <c r="H14" s="16" t="s">
        <v>7</v>
      </c>
      <c r="I14" s="16" t="s">
        <v>8</v>
      </c>
      <c r="J14" s="16">
        <v>180</v>
      </c>
      <c r="K14" s="16">
        <v>180</v>
      </c>
      <c r="L14" s="5"/>
      <c r="M14" s="5"/>
      <c r="N14" s="5"/>
      <c r="O14" s="5"/>
      <c r="P14" s="5"/>
      <c r="Q14" s="5"/>
      <c r="AC14" s="17" t="s">
        <v>12</v>
      </c>
      <c r="AJ14" s="10"/>
    </row>
    <row r="15" spans="2:36" ht="15.5" hidden="1" x14ac:dyDescent="0.35">
      <c r="F15" s="16" t="s">
        <v>9</v>
      </c>
      <c r="G15" s="16" t="s">
        <v>32</v>
      </c>
      <c r="H15" s="16"/>
      <c r="I15" s="16"/>
      <c r="J15" s="16">
        <v>0</v>
      </c>
      <c r="K15" s="16">
        <v>0</v>
      </c>
      <c r="L15" s="5"/>
      <c r="M15" s="5"/>
      <c r="N15" s="5"/>
      <c r="O15" s="5"/>
      <c r="P15" s="5"/>
      <c r="Q15" s="5"/>
      <c r="AC15" s="18" t="s">
        <v>13</v>
      </c>
      <c r="AJ15" s="11"/>
    </row>
    <row r="16" spans="2:36" ht="15.5" x14ac:dyDescent="0.35">
      <c r="F16" s="16" t="s">
        <v>10</v>
      </c>
      <c r="G16" s="16" t="s">
        <v>33</v>
      </c>
      <c r="H16" s="16" t="s">
        <v>7</v>
      </c>
      <c r="I16" s="16" t="s">
        <v>8</v>
      </c>
      <c r="J16" s="16">
        <v>365</v>
      </c>
      <c r="K16" s="16">
        <v>180</v>
      </c>
      <c r="L16" s="5"/>
      <c r="M16" s="5"/>
      <c r="N16" s="5"/>
      <c r="O16" s="5"/>
      <c r="P16" s="5"/>
      <c r="Q16" s="5"/>
      <c r="AC16" s="17" t="s">
        <v>14</v>
      </c>
      <c r="AJ16" s="10"/>
    </row>
    <row r="17" spans="6:36" ht="15.5" hidden="1" x14ac:dyDescent="0.35">
      <c r="F17" s="16" t="s">
        <v>11</v>
      </c>
      <c r="G17" s="16" t="s">
        <v>34</v>
      </c>
      <c r="H17" s="16" t="s">
        <v>7</v>
      </c>
      <c r="I17" s="16" t="s">
        <v>8</v>
      </c>
      <c r="J17" s="16">
        <v>365</v>
      </c>
      <c r="K17" s="16">
        <v>180</v>
      </c>
      <c r="L17" s="5"/>
      <c r="M17" s="5"/>
      <c r="N17" s="5"/>
      <c r="O17" s="5"/>
      <c r="P17" s="5"/>
      <c r="Q17" s="5"/>
      <c r="AC17" s="18" t="s">
        <v>15</v>
      </c>
      <c r="AJ17" s="11"/>
    </row>
    <row r="18" spans="6:36" ht="15.5" hidden="1" x14ac:dyDescent="0.35">
      <c r="F18" s="16" t="s">
        <v>12</v>
      </c>
      <c r="G18" s="16" t="s">
        <v>27</v>
      </c>
      <c r="H18" s="16" t="s">
        <v>7</v>
      </c>
      <c r="I18" s="16" t="s">
        <v>8</v>
      </c>
      <c r="J18" s="16">
        <v>365</v>
      </c>
      <c r="K18" s="16">
        <v>180</v>
      </c>
      <c r="L18" s="5"/>
      <c r="M18" s="5"/>
      <c r="N18" s="5"/>
      <c r="O18" s="5"/>
      <c r="P18" s="5"/>
      <c r="Q18" s="5"/>
      <c r="AC18" s="17" t="s">
        <v>16</v>
      </c>
      <c r="AJ18" s="10"/>
    </row>
    <row r="19" spans="6:36" ht="15.5" hidden="1" x14ac:dyDescent="0.35">
      <c r="F19" s="16" t="s">
        <v>13</v>
      </c>
      <c r="G19" s="16" t="s">
        <v>35</v>
      </c>
      <c r="H19" s="16" t="s">
        <v>7</v>
      </c>
      <c r="I19" s="16" t="s">
        <v>8</v>
      </c>
      <c r="J19" s="16">
        <v>365</v>
      </c>
      <c r="K19" s="16">
        <v>180</v>
      </c>
      <c r="M19" s="5"/>
      <c r="N19" s="5"/>
      <c r="O19" s="5"/>
      <c r="P19" s="5"/>
      <c r="Q19" s="5"/>
      <c r="R19" s="5"/>
      <c r="AC19" s="18" t="s">
        <v>17</v>
      </c>
      <c r="AJ19" s="11"/>
    </row>
    <row r="20" spans="6:36" ht="15.5" hidden="1" x14ac:dyDescent="0.35">
      <c r="F20" s="16" t="s">
        <v>14</v>
      </c>
      <c r="G20" s="16" t="s">
        <v>36</v>
      </c>
      <c r="H20" s="16"/>
      <c r="I20" s="16"/>
      <c r="J20" s="16">
        <v>0</v>
      </c>
      <c r="K20" s="16">
        <v>0</v>
      </c>
      <c r="M20" s="5"/>
      <c r="N20" s="5"/>
      <c r="O20" s="5"/>
      <c r="P20" s="5"/>
      <c r="Q20" s="5"/>
      <c r="R20" s="5"/>
      <c r="AC20" s="17" t="s">
        <v>18</v>
      </c>
      <c r="AJ20" s="10"/>
    </row>
    <row r="21" spans="6:36" ht="15.5" hidden="1" x14ac:dyDescent="0.35">
      <c r="F21" s="16" t="s">
        <v>15</v>
      </c>
      <c r="G21" s="16" t="s">
        <v>37</v>
      </c>
      <c r="H21" s="16" t="s">
        <v>7</v>
      </c>
      <c r="I21" s="16"/>
      <c r="J21" s="16">
        <v>0</v>
      </c>
      <c r="K21" s="16">
        <v>0</v>
      </c>
      <c r="M21" s="5"/>
      <c r="N21" s="5"/>
      <c r="O21" s="5"/>
      <c r="P21" s="5"/>
      <c r="Q21" s="5"/>
      <c r="R21" s="5"/>
      <c r="AC21" s="18" t="s">
        <v>19</v>
      </c>
      <c r="AJ21" s="11"/>
    </row>
    <row r="22" spans="6:36" ht="15.5" hidden="1" x14ac:dyDescent="0.35">
      <c r="F22" s="16" t="s">
        <v>16</v>
      </c>
      <c r="G22" s="16" t="s">
        <v>38</v>
      </c>
      <c r="H22" s="16" t="s">
        <v>7</v>
      </c>
      <c r="I22" s="16"/>
      <c r="J22" s="16">
        <v>365</v>
      </c>
      <c r="K22" s="16">
        <v>180</v>
      </c>
      <c r="M22" s="5"/>
      <c r="N22" s="5"/>
      <c r="O22" s="5"/>
      <c r="P22" s="5"/>
      <c r="Q22" s="5"/>
      <c r="R22" s="5"/>
      <c r="AC22" s="17" t="s">
        <v>20</v>
      </c>
      <c r="AJ22" s="10"/>
    </row>
    <row r="23" spans="6:36" ht="15.5" hidden="1" x14ac:dyDescent="0.35">
      <c r="F23" s="16" t="s">
        <v>17</v>
      </c>
      <c r="G23" s="16" t="s">
        <v>39</v>
      </c>
      <c r="H23" s="16" t="s">
        <v>7</v>
      </c>
      <c r="I23" s="16" t="s">
        <v>8</v>
      </c>
      <c r="J23" s="16">
        <v>365</v>
      </c>
      <c r="K23" s="16">
        <v>180</v>
      </c>
      <c r="M23" s="5"/>
      <c r="N23" s="5"/>
      <c r="O23" s="5"/>
      <c r="P23" s="5"/>
      <c r="Q23" s="5"/>
      <c r="R23" s="5"/>
      <c r="AC23" s="18" t="s">
        <v>21</v>
      </c>
      <c r="AJ23" s="11"/>
    </row>
    <row r="24" spans="6:36" ht="15.5" hidden="1" x14ac:dyDescent="0.35">
      <c r="F24" s="16" t="s">
        <v>18</v>
      </c>
      <c r="G24" s="16" t="s">
        <v>40</v>
      </c>
      <c r="H24" s="16"/>
      <c r="I24" s="16"/>
      <c r="J24" s="16">
        <v>0</v>
      </c>
      <c r="K24" s="16">
        <v>0</v>
      </c>
      <c r="M24" s="5"/>
      <c r="N24" s="5"/>
      <c r="O24" s="5"/>
      <c r="P24" s="5"/>
      <c r="Q24" s="5"/>
      <c r="R24" s="5"/>
      <c r="AC24" s="17" t="s">
        <v>22</v>
      </c>
      <c r="AJ24" s="10"/>
    </row>
    <row r="25" spans="6:36" ht="15.5" hidden="1" x14ac:dyDescent="0.35">
      <c r="F25" s="16" t="s">
        <v>19</v>
      </c>
      <c r="G25" s="16" t="s">
        <v>41</v>
      </c>
      <c r="H25" s="16"/>
      <c r="I25" s="16"/>
      <c r="J25" s="16">
        <v>0</v>
      </c>
      <c r="K25" s="16">
        <v>0</v>
      </c>
      <c r="M25" s="5"/>
      <c r="N25" s="5"/>
      <c r="O25" s="5"/>
      <c r="P25" s="5"/>
      <c r="Q25" s="5"/>
      <c r="R25" s="5"/>
      <c r="AC25" s="18" t="s">
        <v>23</v>
      </c>
      <c r="AJ25" s="11"/>
    </row>
    <row r="26" spans="6:36" ht="15.5" hidden="1" x14ac:dyDescent="0.35">
      <c r="F26" s="16" t="s">
        <v>20</v>
      </c>
      <c r="G26" s="16" t="s">
        <v>42</v>
      </c>
      <c r="H26" s="16"/>
      <c r="I26" s="16"/>
      <c r="J26" s="16">
        <v>0</v>
      </c>
      <c r="K26" s="16">
        <v>0</v>
      </c>
      <c r="M26" s="5"/>
      <c r="N26" s="5"/>
      <c r="O26" s="5"/>
      <c r="P26" s="5"/>
      <c r="Q26" s="5"/>
      <c r="R26" s="5"/>
      <c r="AC26" s="17" t="s">
        <v>24</v>
      </c>
      <c r="AJ26" s="10"/>
    </row>
    <row r="27" spans="6:36" ht="15.5" hidden="1" x14ac:dyDescent="0.35">
      <c r="F27" s="16" t="s">
        <v>21</v>
      </c>
      <c r="G27" s="16" t="s">
        <v>43</v>
      </c>
      <c r="H27" s="16" t="s">
        <v>7</v>
      </c>
      <c r="I27" s="16" t="s">
        <v>8</v>
      </c>
      <c r="J27" s="16">
        <v>365</v>
      </c>
      <c r="K27" s="16">
        <v>180</v>
      </c>
      <c r="M27" s="5"/>
      <c r="N27" s="5"/>
      <c r="O27" s="5"/>
      <c r="P27" s="5"/>
      <c r="Q27" s="5"/>
      <c r="R27" s="5"/>
      <c r="AC27" s="18" t="s">
        <v>25</v>
      </c>
      <c r="AJ27" s="11"/>
    </row>
    <row r="28" spans="6:36" ht="15.5" hidden="1" x14ac:dyDescent="0.35">
      <c r="F28" s="16" t="s">
        <v>22</v>
      </c>
      <c r="G28" s="16" t="s">
        <v>44</v>
      </c>
      <c r="H28" s="16" t="s">
        <v>7</v>
      </c>
      <c r="I28" s="16" t="s">
        <v>8</v>
      </c>
      <c r="J28" s="16">
        <v>365</v>
      </c>
      <c r="K28" s="16">
        <v>180</v>
      </c>
      <c r="M28" s="5"/>
      <c r="N28" s="5"/>
      <c r="O28" s="5"/>
      <c r="P28" s="5"/>
      <c r="Q28" s="5"/>
      <c r="R28" s="5"/>
      <c r="AC28" s="17" t="s">
        <v>26</v>
      </c>
      <c r="AJ28" s="10"/>
    </row>
    <row r="29" spans="6:36" ht="15.5" hidden="1" x14ac:dyDescent="0.35">
      <c r="F29" s="16" t="s">
        <v>23</v>
      </c>
      <c r="G29" s="16" t="s">
        <v>45</v>
      </c>
      <c r="H29" s="16" t="s">
        <v>7</v>
      </c>
      <c r="I29" s="16" t="s">
        <v>8</v>
      </c>
      <c r="J29" s="16">
        <v>90</v>
      </c>
      <c r="K29" s="16">
        <v>90</v>
      </c>
      <c r="M29" s="5"/>
      <c r="N29" s="5"/>
      <c r="O29" s="5"/>
      <c r="P29" s="5"/>
      <c r="Q29" s="5"/>
      <c r="R29" s="5"/>
    </row>
    <row r="30" spans="6:36" ht="15.5" hidden="1" x14ac:dyDescent="0.35">
      <c r="F30" s="16" t="s">
        <v>24</v>
      </c>
      <c r="G30" s="16" t="s">
        <v>46</v>
      </c>
      <c r="H30" s="16" t="s">
        <v>7</v>
      </c>
      <c r="I30" s="16" t="s">
        <v>8</v>
      </c>
      <c r="J30" s="16">
        <v>180</v>
      </c>
      <c r="K30" s="16">
        <v>180</v>
      </c>
      <c r="M30" s="5"/>
      <c r="N30" s="5"/>
      <c r="O30" s="5"/>
      <c r="P30" s="5"/>
      <c r="Q30" s="5"/>
      <c r="R30" s="5"/>
    </row>
    <row r="31" spans="6:36" ht="15.5" hidden="1" x14ac:dyDescent="0.35">
      <c r="F31" s="16" t="s">
        <v>25</v>
      </c>
      <c r="G31" s="16" t="s">
        <v>47</v>
      </c>
      <c r="H31" s="16" t="s">
        <v>7</v>
      </c>
      <c r="I31" s="16" t="s">
        <v>8</v>
      </c>
      <c r="J31" s="16">
        <v>365</v>
      </c>
      <c r="K31" s="16">
        <v>180</v>
      </c>
      <c r="M31" s="5"/>
      <c r="N31" s="5"/>
      <c r="O31" s="5"/>
      <c r="P31" s="5"/>
      <c r="Q31" s="5"/>
      <c r="R31" s="5"/>
    </row>
    <row r="32" spans="6:36" ht="15.5" hidden="1" x14ac:dyDescent="0.35">
      <c r="F32" s="16" t="s">
        <v>26</v>
      </c>
      <c r="G32" s="16" t="s">
        <v>48</v>
      </c>
      <c r="H32" s="16" t="s">
        <v>7</v>
      </c>
      <c r="I32" s="16" t="s">
        <v>8</v>
      </c>
      <c r="J32" s="16">
        <v>365</v>
      </c>
      <c r="K32" s="16">
        <v>180</v>
      </c>
      <c r="M32" s="5"/>
      <c r="N32" s="5"/>
      <c r="O32" s="5"/>
      <c r="P32" s="5"/>
      <c r="Q32" s="5"/>
      <c r="R32" s="5"/>
    </row>
    <row r="34" spans="3:10" x14ac:dyDescent="0.35">
      <c r="C34" t="s">
        <v>59</v>
      </c>
      <c r="D34" t="s">
        <v>60</v>
      </c>
    </row>
    <row r="35" spans="3:10" x14ac:dyDescent="0.35">
      <c r="C35" t="s">
        <v>50</v>
      </c>
      <c r="D35" t="s">
        <v>51</v>
      </c>
    </row>
    <row r="36" spans="3:10" x14ac:dyDescent="0.35">
      <c r="C36" t="s">
        <v>61</v>
      </c>
      <c r="D36" t="s">
        <v>52</v>
      </c>
      <c r="J36" t="str">
        <f>SelectedPermit</f>
        <v>Grading and On-site</v>
      </c>
    </row>
    <row r="37" spans="3:10" x14ac:dyDescent="0.35">
      <c r="C37" t="s">
        <v>53</v>
      </c>
      <c r="D37" t="s">
        <v>52</v>
      </c>
    </row>
    <row r="38" spans="3:10" x14ac:dyDescent="0.35">
      <c r="C38" t="s">
        <v>54</v>
      </c>
      <c r="D38" t="s">
        <v>52</v>
      </c>
    </row>
    <row r="39" spans="3:10" x14ac:dyDescent="0.35">
      <c r="C39" t="s">
        <v>55</v>
      </c>
      <c r="D39" t="s">
        <v>51</v>
      </c>
    </row>
    <row r="40" spans="3:10" x14ac:dyDescent="0.35">
      <c r="C40" t="s">
        <v>56</v>
      </c>
      <c r="D40" t="s">
        <v>51</v>
      </c>
    </row>
    <row r="41" spans="3:10" x14ac:dyDescent="0.35">
      <c r="C41" t="s">
        <v>57</v>
      </c>
      <c r="D41" t="s">
        <v>58</v>
      </c>
    </row>
  </sheetData>
  <dataValidations count="1">
    <dataValidation type="list" allowBlank="1" showInputMessage="1" showErrorMessage="1" sqref="AC9" xr:uid="{191066BE-6B61-40CD-85BD-F43B821CF54D}">
      <formula1>$AC$10:$AC$28</formula1>
    </dataValidation>
  </dataValidations>
  <hyperlinks>
    <hyperlink ref="F3:H3" location="'Table of Contents'!A1" display="Return to Table Of Contents" xr:uid="{D6E70E30-E820-4FC2-A98A-E186E372AE6C}"/>
    <hyperlink ref="G5:I5" location="'Permitting Index'!C8" display="Need Help? Click here to better understand the information provided on this page, including Examples." xr:uid="{2196BCFB-980F-4FE7-8A18-0472CF20B69E}"/>
    <hyperlink ref="L5" location="'Fees &amp; Accounting'!A1" display="Next Page" xr:uid="{590B9D51-EF95-42CA-9B80-ECCAF2AB535B}"/>
    <hyperlink ref="L5:T5" location="'Item Review Submittals'!A1" display="Next Page" xr:uid="{8E9E6640-CC2B-4741-829C-8DCDB4621FD9}"/>
  </hyperlink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A1389-C7AD-4330-AB87-34B377EB6877}">
  <sheetPr codeName="Sheet2"/>
  <dimension ref="A1"/>
  <sheetViews>
    <sheetView workbookViewId="0">
      <selection activeCell="D1" sqref="D1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4DE3D1-8283-453F-8022-C481246F2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Query2</vt:lpstr>
      <vt:lpstr>Query3</vt:lpstr>
      <vt:lpstr>Query1</vt:lpstr>
      <vt:lpstr>Sheet1</vt:lpstr>
      <vt:lpstr>SelectedPermit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Putterman</dc:creator>
  <cp:lastModifiedBy>Cameron Putterman</cp:lastModifiedBy>
  <dcterms:created xsi:type="dcterms:W3CDTF">2025-08-29T15:34:44Z</dcterms:created>
  <dcterms:modified xsi:type="dcterms:W3CDTF">2025-09-09T18:24:51Z</dcterms:modified>
</cp:coreProperties>
</file>